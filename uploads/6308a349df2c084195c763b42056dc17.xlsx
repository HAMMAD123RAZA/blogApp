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003a0b8321954c/Desktop/"/>
    </mc:Choice>
  </mc:AlternateContent>
  <xr:revisionPtr revIDLastSave="3" documentId="8_{B92C675D-8338-45CC-911A-6BC9CFFCA40A}" xr6:coauthVersionLast="47" xr6:coauthVersionMax="47" xr10:uidLastSave="{47E650A2-BABB-4A5B-B1B0-15BB8923858F}"/>
  <bookViews>
    <workbookView xWindow="-120" yWindow="-120" windowWidth="19440" windowHeight="15000" xr2:uid="{7B09EDC7-5D70-4335-B30B-CD95B81394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C15" i="1"/>
  <c r="D15" i="1"/>
  <c r="E15" i="1"/>
  <c r="B15" i="1"/>
  <c r="C14" i="1"/>
  <c r="D14" i="1"/>
  <c r="E14" i="1"/>
  <c r="B14" i="1"/>
  <c r="C13" i="1"/>
  <c r="D13" i="1"/>
  <c r="E13" i="1"/>
  <c r="B13" i="1"/>
  <c r="J4" i="1"/>
  <c r="J6" i="1"/>
  <c r="J7" i="1"/>
  <c r="J8" i="1"/>
  <c r="J9" i="1"/>
  <c r="J10" i="1"/>
  <c r="J11" i="1"/>
  <c r="J3" i="1"/>
  <c r="I11" i="1"/>
  <c r="I9" i="1"/>
  <c r="I8" i="1"/>
  <c r="I7" i="1"/>
  <c r="I6" i="1"/>
  <c r="I4" i="1"/>
  <c r="I3" i="1"/>
  <c r="H4" i="1"/>
  <c r="H6" i="1"/>
  <c r="H8" i="1"/>
  <c r="H10" i="1"/>
  <c r="H11" i="1"/>
  <c r="H3" i="1"/>
  <c r="G10" i="1"/>
  <c r="G6" i="1"/>
  <c r="G3" i="1"/>
  <c r="F4" i="1"/>
  <c r="F5" i="1"/>
  <c r="G5" i="1" s="1"/>
  <c r="F6" i="1"/>
  <c r="F7" i="1"/>
  <c r="H7" i="1" s="1"/>
  <c r="F8" i="1"/>
  <c r="F9" i="1"/>
  <c r="G9" i="1" s="1"/>
  <c r="H9" i="1" s="1"/>
  <c r="F10" i="1"/>
  <c r="F11" i="1"/>
  <c r="F12" i="1"/>
  <c r="G12" i="1" s="1"/>
  <c r="F3" i="1"/>
  <c r="J12" i="1" l="1"/>
  <c r="H12" i="1"/>
  <c r="I12" i="1"/>
  <c r="F14" i="1"/>
  <c r="G14" i="1"/>
  <c r="G13" i="1"/>
  <c r="G15" i="1"/>
  <c r="I5" i="1"/>
  <c r="J5" i="1"/>
  <c r="F13" i="1"/>
  <c r="F15" i="1"/>
  <c r="H5" i="1"/>
</calcChain>
</file>

<file path=xl/sharedStrings.xml><?xml version="1.0" encoding="utf-8"?>
<sst xmlns="http://schemas.openxmlformats.org/spreadsheetml/2006/main" count="25" uniqueCount="25">
  <si>
    <t>NAME</t>
  </si>
  <si>
    <t>SUBJ-1</t>
  </si>
  <si>
    <t>SUBJ-2</t>
  </si>
  <si>
    <t>SUBJ-3</t>
  </si>
  <si>
    <t>SUBJ-4</t>
  </si>
  <si>
    <t>SUM</t>
  </si>
  <si>
    <t>%AGE</t>
  </si>
  <si>
    <t>STATUS</t>
  </si>
  <si>
    <t>GRAD</t>
  </si>
  <si>
    <t>GPA</t>
  </si>
  <si>
    <t>GRADE USING V LOOKUP</t>
  </si>
  <si>
    <t>GPA USING LOOKUP</t>
  </si>
  <si>
    <t>STD-1</t>
  </si>
  <si>
    <t>STD-2</t>
  </si>
  <si>
    <t>STD-3</t>
  </si>
  <si>
    <t>STD-4</t>
  </si>
  <si>
    <t>STD-5</t>
  </si>
  <si>
    <t>STD-6</t>
  </si>
  <si>
    <t>STD-7</t>
  </si>
  <si>
    <t>STD-8</t>
  </si>
  <si>
    <t>STD-9</t>
  </si>
  <si>
    <t>STD-10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</si>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</sst>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476B-2925-4EDF-AF24-F3F4F1E4794C}">
  <dimension ref="A2:L15"/>
  <sheetViews>
    <sheetView tabSelected="1" workbookViewId="0">
      <selection activeCell="L7" sqref="L7"/>
    </sheetView>
  </sheetViews>
  <sheetFormatPr defaultRowHeight="15"/>
  <cols>
    <col min="11" max="11" width="22.5703125" customWidth="1"/>
    <col min="12" max="12" width="17.85546875" customWidth="1"/>
  </cols>
  <sheetData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t="s">
        <v>12</v>
      </c>
      <c r="B3">
        <v>7</v>
      </c>
      <c r="C3">
        <v>54</v>
      </c>
      <c r="D3">
        <v>63</v>
      </c>
      <c r="E3">
        <v>65</v>
      </c>
      <c r="F3">
        <f>SUM(B3:E3)</f>
        <v>189</v>
      </c>
      <c r="G3">
        <f>F3/4</f>
        <v>47.25</v>
      </c>
      <c r="H3" t="str">
        <f>IF(G3&gt;=60,"Pass","fail")</f>
        <v>fail</v>
      </c>
      <c r="I3" t="str">
        <f>IF(G3&gt;=88,"A+",IF(G3&gt;=81,"B+",IF(G3&gt;=74,"B",IF(G3&gt;=67,"C+",IF(G3&gt;=60,"C","F")))))</f>
        <v>F</v>
      </c>
      <c r="J3" t="str">
        <f>IF(G3&gt;=88,"4",IF(G3&gt;=81,"3.5",IF(G3&gt;=74,"3",IF(G3&gt;=67,"2.5",IF(G3&gt;=60,"2","0")))))</f>
        <v>0</v>
      </c>
      <c r="K3" t="str">
        <f>LOOKUP(G3,{0,60,67,74,81,88},{"F","C","C+","B","B+","A"})</f>
        <v>F</v>
      </c>
      <c r="L3">
        <f>LOOKUP(G3,{0,60,67,74,81,88},{0,2,2.5,3,3.5,4})</f>
        <v>0</v>
      </c>
    </row>
    <row r="4" spans="1:12">
      <c r="A4" t="s">
        <v>13</v>
      </c>
      <c r="B4">
        <v>63</v>
      </c>
      <c r="C4">
        <v>79</v>
      </c>
      <c r="D4">
        <v>59</v>
      </c>
      <c r="E4">
        <v>18</v>
      </c>
      <c r="F4">
        <f t="shared" ref="F4:F12" si="0">SUM(B4:E4)</f>
        <v>219</v>
      </c>
      <c r="G4">
        <v>64</v>
      </c>
      <c r="H4" t="str">
        <f t="shared" ref="H4:H12" si="1">IF(G4&gt;=60,"Pass","fail")</f>
        <v>Pass</v>
      </c>
      <c r="I4" t="str">
        <f t="shared" ref="I4:I12" si="2">IF(G4&gt;=88,"A+",IF(G4&gt;=81,"B+",IF(G4&gt;=74,"B",IF(G4&gt;=67,"C+",IF(G4&gt;=60,"C","F")))))</f>
        <v>C</v>
      </c>
      <c r="J4" t="str">
        <f t="shared" ref="J4:J12" si="3">IF(G4&gt;=88,"4",IF(G4&gt;=81,"3.5",IF(G4&gt;=74,"3",IF(G4&gt;=67,"2.5",IF(G4&gt;=60,"2","0")))))</f>
        <v>2</v>
      </c>
      <c r="K4" t="str">
        <f>LOOKUP(G4,{0,60,67,74,81,88},{"F","C","C+","B","B+","A"})</f>
        <v>C</v>
      </c>
      <c r="L4">
        <f>LOOKUP(G4,{0,60,67,74,81,88},{0,2,2.5,3,3.5,4})</f>
        <v>2</v>
      </c>
    </row>
    <row r="5" spans="1:12">
      <c r="A5" t="s">
        <v>14</v>
      </c>
      <c r="B5">
        <v>96</v>
      </c>
      <c r="C5">
        <v>78</v>
      </c>
      <c r="D5">
        <v>100</v>
      </c>
      <c r="E5">
        <v>90</v>
      </c>
      <c r="F5">
        <f t="shared" si="0"/>
        <v>364</v>
      </c>
      <c r="G5">
        <f t="shared" ref="G4:G12" si="4">F5/4</f>
        <v>91</v>
      </c>
      <c r="H5" t="str">
        <f t="shared" si="1"/>
        <v>Pass</v>
      </c>
      <c r="I5" t="str">
        <f t="shared" si="2"/>
        <v>A+</v>
      </c>
      <c r="J5" t="str">
        <f t="shared" si="3"/>
        <v>4</v>
      </c>
      <c r="K5" t="str">
        <f>LOOKUP(G5,{0,60,67,74,81,88},{"F","C","C+","B","B+","A"})</f>
        <v>A</v>
      </c>
      <c r="L5">
        <f>LOOKUP(G5,{0,60,67,74,81,88},{0,2,2.5,3,3.5,4})</f>
        <v>4</v>
      </c>
    </row>
    <row r="6" spans="1:12">
      <c r="A6" t="s">
        <v>15</v>
      </c>
      <c r="B6">
        <v>54</v>
      </c>
      <c r="C6">
        <v>25</v>
      </c>
      <c r="D6">
        <v>47</v>
      </c>
      <c r="E6">
        <v>74</v>
      </c>
      <c r="F6">
        <f t="shared" si="0"/>
        <v>200</v>
      </c>
      <c r="G6">
        <f t="shared" si="4"/>
        <v>50</v>
      </c>
      <c r="H6" t="str">
        <f t="shared" si="1"/>
        <v>fail</v>
      </c>
      <c r="I6" t="str">
        <f t="shared" si="2"/>
        <v>F</v>
      </c>
      <c r="J6" t="str">
        <f t="shared" si="3"/>
        <v>0</v>
      </c>
      <c r="K6" t="str">
        <f>LOOKUP(G6,{0,60,67,74,81,88},{"F","C","C+","B","B+","A"})</f>
        <v>F</v>
      </c>
      <c r="L6">
        <f>LOOKUP(G6,{0,60,67,74,81,88},{0,2,2.5,3,3.5,4})</f>
        <v>0</v>
      </c>
    </row>
    <row r="7" spans="1:12">
      <c r="A7" t="s">
        <v>16</v>
      </c>
      <c r="B7">
        <v>1</v>
      </c>
      <c r="C7">
        <v>87</v>
      </c>
      <c r="D7">
        <v>93</v>
      </c>
      <c r="E7">
        <v>71</v>
      </c>
      <c r="F7">
        <f t="shared" si="0"/>
        <v>252</v>
      </c>
      <c r="G7">
        <v>88</v>
      </c>
      <c r="H7" t="str">
        <f t="shared" si="1"/>
        <v>Pass</v>
      </c>
      <c r="I7" t="str">
        <f t="shared" si="2"/>
        <v>A+</v>
      </c>
      <c r="J7" t="str">
        <f t="shared" si="3"/>
        <v>4</v>
      </c>
      <c r="K7" t="str">
        <f>LOOKUP(G7,{0,60,67,74,81,88},{"F","C","C+","B","B+","A"})</f>
        <v>A</v>
      </c>
      <c r="L7">
        <f>LOOKUP(G7,{0,60,67,74,81,88},{0,2,2.5,3,3.5,4})</f>
        <v>4</v>
      </c>
    </row>
    <row r="8" spans="1:12">
      <c r="A8" t="s">
        <v>17</v>
      </c>
      <c r="B8">
        <v>33</v>
      </c>
      <c r="C8">
        <v>48</v>
      </c>
      <c r="D8">
        <v>13</v>
      </c>
      <c r="E8">
        <v>70</v>
      </c>
      <c r="F8">
        <f t="shared" si="0"/>
        <v>164</v>
      </c>
      <c r="G8">
        <v>100</v>
      </c>
      <c r="H8" t="str">
        <f t="shared" si="1"/>
        <v>Pass</v>
      </c>
      <c r="I8" t="str">
        <f t="shared" si="2"/>
        <v>A+</v>
      </c>
      <c r="J8" t="str">
        <f t="shared" si="3"/>
        <v>4</v>
      </c>
      <c r="K8" t="str">
        <f>LOOKUP(G8,{0,60,67,74,81,88},{"F","C","C+","B","B+","A"})</f>
        <v>A</v>
      </c>
      <c r="L8">
        <f>LOOKUP(G8,{0,60,67,74,81,88},{0,2,2.5,3,3.5,4})</f>
        <v>4</v>
      </c>
    </row>
    <row r="9" spans="1:12">
      <c r="A9" t="s">
        <v>18</v>
      </c>
      <c r="B9">
        <v>89</v>
      </c>
      <c r="C9">
        <v>87</v>
      </c>
      <c r="D9">
        <v>32</v>
      </c>
      <c r="E9">
        <v>42</v>
      </c>
      <c r="F9">
        <f t="shared" si="0"/>
        <v>250</v>
      </c>
      <c r="G9">
        <f t="shared" si="4"/>
        <v>62.5</v>
      </c>
      <c r="H9" t="str">
        <f t="shared" si="1"/>
        <v>Pass</v>
      </c>
      <c r="I9" t="str">
        <f t="shared" si="2"/>
        <v>C</v>
      </c>
      <c r="J9" t="str">
        <f t="shared" si="3"/>
        <v>2</v>
      </c>
      <c r="K9" t="str">
        <f>LOOKUP(G9,{0,60,67,74,81,88},{"F","C","C+","B","B+","A"})</f>
        <v>C</v>
      </c>
      <c r="L9">
        <f>LOOKUP(G9,{0,60,67,74,81,88},{0,2,2.5,3,3.5,4})</f>
        <v>2</v>
      </c>
    </row>
    <row r="10" spans="1:12">
      <c r="A10" t="s">
        <v>19</v>
      </c>
      <c r="B10">
        <v>12</v>
      </c>
      <c r="C10">
        <v>86</v>
      </c>
      <c r="D10">
        <v>56</v>
      </c>
      <c r="E10">
        <v>49</v>
      </c>
      <c r="F10">
        <f t="shared" si="0"/>
        <v>203</v>
      </c>
      <c r="G10">
        <f t="shared" si="4"/>
        <v>50.75</v>
      </c>
      <c r="H10" t="str">
        <f t="shared" si="1"/>
        <v>fail</v>
      </c>
      <c r="I10" t="str">
        <f t="shared" si="2"/>
        <v>F</v>
      </c>
      <c r="J10" t="str">
        <f t="shared" si="3"/>
        <v>0</v>
      </c>
      <c r="K10" t="str">
        <f>LOOKUP(G10,{0,60,67,74,81,88},{"F","C","C+","B","B+","A"})</f>
        <v>F</v>
      </c>
      <c r="L10">
        <f>LOOKUP(G10,{0,60,67,74,81,88},{0,2,2.5,3,3.5,4})</f>
        <v>0</v>
      </c>
    </row>
    <row r="11" spans="1:12">
      <c r="A11" t="s">
        <v>20</v>
      </c>
      <c r="B11">
        <v>65</v>
      </c>
      <c r="C11">
        <v>47</v>
      </c>
      <c r="D11">
        <v>86</v>
      </c>
      <c r="E11">
        <v>2</v>
      </c>
      <c r="F11">
        <f t="shared" si="0"/>
        <v>200</v>
      </c>
      <c r="G11">
        <v>87</v>
      </c>
      <c r="H11" t="str">
        <f t="shared" si="1"/>
        <v>Pass</v>
      </c>
      <c r="I11" t="str">
        <f t="shared" si="2"/>
        <v>B+</v>
      </c>
      <c r="J11" t="str">
        <f t="shared" si="3"/>
        <v>3.5</v>
      </c>
      <c r="K11" t="str">
        <f>LOOKUP(G11,{0,60,67,74,81,88},{"F","C","C+","B","B+","A"})</f>
        <v>B+</v>
      </c>
      <c r="L11">
        <f>LOOKUP(G11,{0,60,67,74,81,88},{0,2,2.5,3,3.5,4})</f>
        <v>3.5</v>
      </c>
    </row>
    <row r="12" spans="1:12">
      <c r="A12" t="s">
        <v>21</v>
      </c>
      <c r="B12">
        <v>84</v>
      </c>
      <c r="C12">
        <v>73</v>
      </c>
      <c r="D12">
        <v>10</v>
      </c>
      <c r="E12">
        <v>90</v>
      </c>
      <c r="F12">
        <f t="shared" si="0"/>
        <v>257</v>
      </c>
      <c r="G12">
        <f t="shared" si="4"/>
        <v>64.25</v>
      </c>
      <c r="H12" t="str">
        <f t="shared" si="1"/>
        <v>Pass</v>
      </c>
      <c r="I12" t="str">
        <f t="shared" si="2"/>
        <v>C</v>
      </c>
      <c r="J12" t="str">
        <f t="shared" si="3"/>
        <v>2</v>
      </c>
      <c r="K12" t="str">
        <f>LOOKUP(G12,{0,60,67,74,81,88},{"F","C","C+","B","B+","A"})</f>
        <v>C</v>
      </c>
      <c r="L12">
        <f>LOOKUP(G12,{0,60,67,74,81,88},{0,2,2.5,3,3.5,4})</f>
        <v>2</v>
      </c>
    </row>
    <row r="13" spans="1:12">
      <c r="A13" s="1" t="s">
        <v>22</v>
      </c>
      <c r="B13">
        <f>MIN(B3:B12)</f>
        <v>1</v>
      </c>
      <c r="C13">
        <f t="shared" ref="C13:G13" si="5">MIN(C3:C12)</f>
        <v>25</v>
      </c>
      <c r="D13">
        <f t="shared" si="5"/>
        <v>10</v>
      </c>
      <c r="E13">
        <f t="shared" si="5"/>
        <v>2</v>
      </c>
      <c r="F13">
        <f t="shared" si="5"/>
        <v>164</v>
      </c>
      <c r="G13">
        <f t="shared" si="5"/>
        <v>47.25</v>
      </c>
    </row>
    <row r="14" spans="1:12">
      <c r="A14" s="1" t="s">
        <v>23</v>
      </c>
      <c r="B14">
        <f>MAX(B3:B12)</f>
        <v>96</v>
      </c>
      <c r="C14">
        <f t="shared" ref="C14:G14" si="6">MAX(C3:C12)</f>
        <v>87</v>
      </c>
      <c r="D14">
        <f t="shared" si="6"/>
        <v>100</v>
      </c>
      <c r="E14">
        <f t="shared" si="6"/>
        <v>90</v>
      </c>
      <c r="F14">
        <f t="shared" si="6"/>
        <v>364</v>
      </c>
      <c r="G14">
        <f t="shared" si="6"/>
        <v>100</v>
      </c>
    </row>
    <row r="15" spans="1:12">
      <c r="A15" s="1" t="s">
        <v>24</v>
      </c>
      <c r="B15">
        <f>AVERAGE(B3:B12)</f>
        <v>50.4</v>
      </c>
      <c r="C15">
        <f t="shared" ref="C15:G15" si="7">AVERAGE(C3:C12)</f>
        <v>66.400000000000006</v>
      </c>
      <c r="D15">
        <f t="shared" si="7"/>
        <v>55.9</v>
      </c>
      <c r="E15">
        <f t="shared" si="7"/>
        <v>57.1</v>
      </c>
      <c r="F15">
        <f t="shared" si="7"/>
        <v>229.8</v>
      </c>
      <c r="G15">
        <f t="shared" si="7"/>
        <v>70.474999999999994</v>
      </c>
    </row>
  </sheetData>
  <phoneticPr fontId="1" type="noConversion"/>
  <conditionalFormatting sqref="B3:B12">
    <cfRule type="top10" dxfId="5" priority="6" rank="2"/>
  </conditionalFormatting>
  <conditionalFormatting sqref="C3:C13">
    <cfRule type="top10" dxfId="4" priority="5" rank="2"/>
  </conditionalFormatting>
  <conditionalFormatting sqref="D3:D12">
    <cfRule type="top10" dxfId="3" priority="4" rank="2"/>
  </conditionalFormatting>
  <conditionalFormatting sqref="E3:E12">
    <cfRule type="top10" dxfId="2" priority="3" rank="2"/>
  </conditionalFormatting>
  <conditionalFormatting sqref="F3:F12">
    <cfRule type="top10" dxfId="1" priority="2" rank="2"/>
  </conditionalFormatting>
  <conditionalFormatting sqref="G3:G12">
    <cfRule type="top10" dxfId="0" priority="1" rank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Hammad Raza</dc:creator>
  <cp:keywords/>
  <dc:description/>
  <cp:lastModifiedBy>Hammad Raza</cp:lastModifiedBy>
  <cp:revision/>
  <dcterms:created xsi:type="dcterms:W3CDTF">2023-11-09T00:56:45Z</dcterms:created>
  <dcterms:modified xsi:type="dcterms:W3CDTF">2023-12-18T13:59:45Z</dcterms:modified>
  <cp:category/>
  <cp:contentStatus/>
</cp:coreProperties>
</file>